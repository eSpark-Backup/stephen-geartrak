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GitHub\stephen-geartrak\Design Files\Gear_Trak-v1.0\Deliverables\BOM\"/>
    </mc:Choice>
  </mc:AlternateContent>
  <xr:revisionPtr revIDLastSave="0" documentId="13_ncr:1_{79C0BF86-FC0B-4302-B311-E4ABAE29C0BD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90" i="1" l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<sst xmlns="http://schemas.openxmlformats.org/spreadsheetml/2006/main" count="622" uniqueCount="420">
  <si>
    <t>#</t>
  </si>
  <si>
    <t>Item Type</t>
  </si>
  <si>
    <t>RF Antennas</t>
  </si>
  <si>
    <t>Capacitor</t>
  </si>
  <si>
    <t>Capacitors</t>
  </si>
  <si>
    <t>Ferrite Beads</t>
  </si>
  <si>
    <t>USB Connector</t>
  </si>
  <si>
    <t>Inductor</t>
  </si>
  <si>
    <t>Inductors</t>
  </si>
  <si>
    <t>LED</t>
  </si>
  <si>
    <t>Resistor</t>
  </si>
  <si>
    <t>Resistors</t>
  </si>
  <si>
    <t>IC</t>
  </si>
  <si>
    <t>(TVS/ESD)</t>
  </si>
  <si>
    <t>Crystal</t>
  </si>
  <si>
    <t>Designator</t>
  </si>
  <si>
    <t>A1</t>
  </si>
  <si>
    <t>A2</t>
  </si>
  <si>
    <t>ANT1</t>
  </si>
  <si>
    <t>C1</t>
  </si>
  <si>
    <t>C2</t>
  </si>
  <si>
    <t>C3</t>
  </si>
  <si>
    <t>C4</t>
  </si>
  <si>
    <t>C5, C6</t>
  </si>
  <si>
    <t>C7</t>
  </si>
  <si>
    <t>C8</t>
  </si>
  <si>
    <t>C9</t>
  </si>
  <si>
    <t>C10, C12, C13</t>
  </si>
  <si>
    <t>C11</t>
  </si>
  <si>
    <t>C14, C20</t>
  </si>
  <si>
    <t>C15, C17, C21, C23, C25, C29, C30, C32, C40, C41, C42, C49, C50, C59, C60</t>
  </si>
  <si>
    <t>C16, C22</t>
  </si>
  <si>
    <t>C18, C19, C38, C54, C55</t>
  </si>
  <si>
    <t>C24</t>
  </si>
  <si>
    <t>C26, C27, C28, C56</t>
  </si>
  <si>
    <t>C31, C53</t>
  </si>
  <si>
    <t>C33</t>
  </si>
  <si>
    <t>C34</t>
  </si>
  <si>
    <t>C35, C36</t>
  </si>
  <si>
    <t>C37</t>
  </si>
  <si>
    <t>C39, C43, C44, C45, C46, C47, C48, C51, C52</t>
  </si>
  <si>
    <t>C57</t>
  </si>
  <si>
    <t>C58</t>
  </si>
  <si>
    <t>CR1</t>
  </si>
  <si>
    <t>D1</t>
  </si>
  <si>
    <t>D2</t>
  </si>
  <si>
    <t>F1</t>
  </si>
  <si>
    <t>FB1</t>
  </si>
  <si>
    <t>FB2</t>
  </si>
  <si>
    <t>J1</t>
  </si>
  <si>
    <t>J2</t>
  </si>
  <si>
    <t>J3</t>
  </si>
  <si>
    <t>J4</t>
  </si>
  <si>
    <t>J5</t>
  </si>
  <si>
    <t>L1</t>
  </si>
  <si>
    <t>L2</t>
  </si>
  <si>
    <t>L3</t>
  </si>
  <si>
    <t>L4</t>
  </si>
  <si>
    <t>L5, L13</t>
  </si>
  <si>
    <t>L6</t>
  </si>
  <si>
    <t>L7</t>
  </si>
  <si>
    <t>L8</t>
  </si>
  <si>
    <t>L9</t>
  </si>
  <si>
    <t>L10</t>
  </si>
  <si>
    <t>L11</t>
  </si>
  <si>
    <t>L12</t>
  </si>
  <si>
    <t>L14</t>
  </si>
  <si>
    <t>L15</t>
  </si>
  <si>
    <t>LED1</t>
  </si>
  <si>
    <t>LED2</t>
  </si>
  <si>
    <t>LED3</t>
  </si>
  <si>
    <t>P1</t>
  </si>
  <si>
    <t>Q1, Q2, Q3</t>
  </si>
  <si>
    <t>Q4</t>
  </si>
  <si>
    <t>R1, R10</t>
  </si>
  <si>
    <t>R2, R29, R30</t>
  </si>
  <si>
    <t>R3, R14, R17, R22, R23, R24, R34, R35</t>
  </si>
  <si>
    <t>R4, R5, R6, R13, R25</t>
  </si>
  <si>
    <t>R7, R8, R9</t>
  </si>
  <si>
    <t>R11, R33, R36, R37, R38, R39, R40, R41, R42</t>
  </si>
  <si>
    <t>R12</t>
  </si>
  <si>
    <t>R15, R16</t>
  </si>
  <si>
    <t>R18, R43, R44</t>
  </si>
  <si>
    <t>R19, R21</t>
  </si>
  <si>
    <t>R20</t>
  </si>
  <si>
    <t>R26</t>
  </si>
  <si>
    <t>R27</t>
  </si>
  <si>
    <t>R28</t>
  </si>
  <si>
    <t>R31, R32</t>
  </si>
  <si>
    <t>SW1</t>
  </si>
  <si>
    <t>U1, 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</si>
  <si>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</si>
  <si>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</si>
  <si>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</si>
  <si>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</si>
  <si>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</si>
  <si>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</si>
  <si>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</si>
  <si>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</si>
  <si>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</si>
  <si>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</si>
  <si>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</si>
  <si>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X1</t>
  </si>
  <si>
    <t>X2</t>
  </si>
  <si>
    <t>Description</t>
  </si>
  <si>
    <t>Mobile IoT LTE Multi-Band Antenna</t>
  </si>
  <si>
    <t>1.5dBi Chip Antenna 2.4GHz 2W 1206 Antennas ROHS</t>
  </si>
  <si>
    <t>Capacitor, NP0, ±0.05pF, 50V</t>
  </si>
  <si>
    <t>Capacitor, NP0, ±0.05pF, 25V</t>
  </si>
  <si>
    <t>Capacitor, NP0, ±5%, 25V</t>
  </si>
  <si>
    <t>CAP CER 39PF 50V C0G/NPO 0402</t>
  </si>
  <si>
    <t>CAP CER 15PF 50V C0G/NPO 0402</t>
  </si>
  <si>
    <t>CAP CER 0.1UF 50V X7R 0402</t>
  </si>
  <si>
    <t>Capacitor, X5R, ±20%, 10V</t>
  </si>
  <si>
    <t>CAP CER 4.7UF 16V X5R 0402</t>
  </si>
  <si>
    <t>CAP CER 12PF 50V C0G/NP0 0402</t>
  </si>
  <si>
    <t>CAP CER 1UF 6.3V X7R 0402</t>
  </si>
  <si>
    <t>CAP CER 1PF 50V C0G/NPO 0402</t>
  </si>
  <si>
    <t>CAP CER 1.2PF 50V C0G/NPO 0402</t>
  </si>
  <si>
    <t>Ceramic Capacitor C0G, NP0 0201, ±0.1pF 25V</t>
  </si>
  <si>
    <t>CAP CER 820PF 50V C0G/NP0 0402</t>
  </si>
  <si>
    <t>CAP CER 22UF 10V X5R 0402</t>
  </si>
  <si>
    <t>CAP CER 1UF 16V X5R 0402</t>
  </si>
  <si>
    <t>CAP CER 0.047UF 50V X7R 0402</t>
  </si>
  <si>
    <t>ESD Suppressor, 30V, 0.04pF</t>
  </si>
  <si>
    <t>20V schottky barrier diode, Vf 350 mV @ 100 mA, Ir 2.0 µA @ 10 V, If 500 mA</t>
  </si>
  <si>
    <t>Schottky Diode</t>
  </si>
  <si>
    <t>2.4 GHz BPF</t>
  </si>
  <si>
    <t>Ferrite Bead, 120 Ohm @ 100MHz, 700mA, 130 mOhm Max</t>
  </si>
  <si>
    <t>FERRITE BEAD 220 OHM 0805 1LN</t>
  </si>
  <si>
    <t>Ultraminiature Coaxial Connector, 50 Ohm, SMD</t>
  </si>
  <si>
    <t>Coaxial Connector with Switch</t>
  </si>
  <si>
    <t>1.0mm pitch connector side entry SMD</t>
  </si>
  <si>
    <t>NanoSIM SMD SIM Card Connectors</t>
  </si>
  <si>
    <t>Inductor, 700mA, ±5%, 85mΩ, Q=42 @ 250MHz</t>
  </si>
  <si>
    <t>Inductor, 360mA, ±5%, 220mOhm, Q=39</t>
  </si>
  <si>
    <t>Inductor, 360mA, ±5%, 220mOhm, Q=39, Inductor, 350mA, ±3%</t>
  </si>
  <si>
    <t>Inductor, 800mA, ±0.5nH, 58mΩ, Q=38 @ 250MHz</t>
  </si>
  <si>
    <t>Inductor, 140mA, ±2%, 1960mΩ, Q=20</t>
  </si>
  <si>
    <t>FIXED IND 1UH 11A 11.9MOHM SM</t>
  </si>
  <si>
    <t>4A 2.2uH ±20% 32mΩ SMD,5.4x5.2x2mm Power Inductors ROHS</t>
  </si>
  <si>
    <t>Inductor, 400mA, ±0.1nH</t>
  </si>
  <si>
    <t>FIXED IND 15NH 400MA 0.45OHM SMD</t>
  </si>
  <si>
    <t>FIXED IND 10UH 250MA 1.05OHM SMD</t>
  </si>
  <si>
    <t>Emerald 0603 Light Emitting Diodes (LED) ROHS</t>
  </si>
  <si>
    <t>RED LED 0603 Light Emitting Diodes</t>
  </si>
  <si>
    <t>30V 5.8A 35mΩ@10V,5.8A 350mW N Channel SOT-23 MOSFETs ROHS</t>
  </si>
  <si>
    <t>P-Channel Power MOSFET</t>
  </si>
  <si>
    <t>RES SMD 0 OHM JUMPER 1/20W 0201</t>
  </si>
  <si>
    <t>RES 10K OHM 1% 1/16W 0402</t>
  </si>
  <si>
    <t>RES 100K OHM 1% 1/16W 0402</t>
  </si>
  <si>
    <t>RES 1K OHM 1% 1/16W 0402</t>
  </si>
  <si>
    <t>RES 1M OHM 1% 1/16W 0402</t>
  </si>
  <si>
    <t>RES 0 OHM JUMPER 1/16W 0402</t>
  </si>
  <si>
    <t>RES 47K OHM 1% 1/16W 0402</t>
  </si>
  <si>
    <t>RES 5.1K OHM 1% 1/16W 0402</t>
  </si>
  <si>
    <t>RES 200 OHM 1% 1/16W 0402</t>
  </si>
  <si>
    <t>RES 330 OHM 1% 1/10W 0402</t>
  </si>
  <si>
    <t>RES 1K OHM 1% 1/8W 0805</t>
  </si>
  <si>
    <t>100mW Thick Film Resistors 75V ±100ppm/℃ ±1% 953Ω 0603 Chip Resistor - Surface Mount ROHS</t>
  </si>
  <si>
    <t>RES 15 OHM 1% 1/10W 0603</t>
  </si>
  <si>
    <t>RES 4.7K OHM 1% 1/16W 0402</t>
  </si>
  <si>
    <t>Miniature slide switch, SPDT, Right-Angle, ON-ON, 12V, 100mA</t>
  </si>
  <si>
    <t>SP8T Switch For 3G/4G Applications</t>
  </si>
  <si>
    <t>GPS/GNSS Low-Noise Amplifier, 19.6dB Gain, 0.55dB Noise Figure, 1.5V to 3.3V Supply Range</t>
  </si>
  <si>
    <t>Low power System-in-Package with integrated LTE-M/NB-IoT modem and GPS</t>
  </si>
  <si>
    <t>SHTC3 Series Digital ±2% RH SMT Humidity Temperature Sensor - DFN-8</t>
  </si>
  <si>
    <t>IC REG BUCK BST 3.3V 3.5A 14VSON</t>
  </si>
  <si>
    <t>AQFN-73-EP(7x7) RF Transceiver ICs ROHS</t>
  </si>
  <si>
    <t>6A 12V 150W 6V Unidirectional 5V SOT-23-6 ESD and Surge Protection (TVS/ESD) ROHS</t>
  </si>
  <si>
    <t>1.0 A Load Switch IC with Slew Rate Control Driver in Ultra Small Package</t>
  </si>
  <si>
    <t>TVS DIODE 5VWM 12.5VC SC70-6</t>
  </si>
  <si>
    <t>Data / Audio Low-Voltage Dual DPDT Analog Switch</t>
  </si>
  <si>
    <t>4V~6V Polymer 1 3.5A SOP-8-EP Battery Management ICs ROHS</t>
  </si>
  <si>
    <t>IC BATT MON LI-ION 1CELL 8TDFN</t>
  </si>
  <si>
    <t>XTAL SMD 2016, 32MHz, Cl=8pF, Tol: ±10ppm, Stab: ±10ppm</t>
  </si>
  <si>
    <t>Crystal, 32.768KHZ, 6PF, 3.2MM X 1.5MM Rohs Compliant: Yes</t>
  </si>
  <si>
    <t>Footprint</t>
  </si>
  <si>
    <t>FR01-S4-210_DF</t>
  </si>
  <si>
    <t>2450AT18D0100E</t>
  </si>
  <si>
    <t>ANT-NN02-224</t>
  </si>
  <si>
    <t>CAPC1005X04L</t>
  </si>
  <si>
    <t>CAPC0603X03L_C</t>
  </si>
  <si>
    <t>Cap-0402</t>
  </si>
  <si>
    <t>cap-0402</t>
  </si>
  <si>
    <t>CAPC2012X11L</t>
  </si>
  <si>
    <t>RESC0603X03L_C</t>
  </si>
  <si>
    <t>SODFL100X40-2N</t>
  </si>
  <si>
    <t>DO-214AC(SMA)</t>
  </si>
  <si>
    <t>SAFFB2G45MA0F0A</t>
  </si>
  <si>
    <t>INDC1005X04L</t>
  </si>
  <si>
    <t>Ind-0805</t>
  </si>
  <si>
    <t>COAXIAL RF U.FL-R-SMT-1</t>
  </si>
  <si>
    <t>COAXIAL-SWF</t>
  </si>
  <si>
    <t>CONN_SMD_3P_1mm_SM03B-SRSS-TB</t>
  </si>
  <si>
    <t>XUNPU_SMN-303</t>
  </si>
  <si>
    <t>INDC1608X06L_WW</t>
  </si>
  <si>
    <t>INDC0603X03L_C</t>
  </si>
  <si>
    <t>INDC1608X06L</t>
  </si>
  <si>
    <t>INDC1005X04L_2</t>
  </si>
  <si>
    <t>INDC1005X04L_WW</t>
  </si>
  <si>
    <t>XFL4020-102MEC</t>
  </si>
  <si>
    <t>YSPI0520-2R2M_</t>
  </si>
  <si>
    <t>IND-0402</t>
  </si>
  <si>
    <t>IND-0603 (1608 Metric)</t>
  </si>
  <si>
    <t>LED_RGB_0606</t>
  </si>
  <si>
    <t>LED-0603</t>
  </si>
  <si>
    <t>SOT-23a</t>
  </si>
  <si>
    <t>Res-0201</t>
  </si>
  <si>
    <t>Res-0402</t>
  </si>
  <si>
    <t>RES-0805</t>
  </si>
  <si>
    <t>Res-0603</t>
  </si>
  <si>
    <t>K3-1280S-F1</t>
  </si>
  <si>
    <t>UFQFN40P200X200X65_HS-15N</t>
  </si>
  <si>
    <t>XFDFN40P100X55-6N</t>
  </si>
  <si>
    <t>LGA50P1600X1050X104-161N</t>
  </si>
  <si>
    <t>4-WDFN Exposed Pad</t>
  </si>
  <si>
    <t>14-VSON (4x3)</t>
  </si>
  <si>
    <t>AQFN50P700X700X85_HS-74N</t>
  </si>
  <si>
    <t>SOT-23-6</t>
  </si>
  <si>
    <t>BGA4C40P2X2_76X76X62</t>
  </si>
  <si>
    <t>SOT65P210X110-6N</t>
  </si>
  <si>
    <t>XQFN40P180X260X50-16N</t>
  </si>
  <si>
    <t>8-SO-EP_</t>
  </si>
  <si>
    <t>8-TDFN-EP (2x2)</t>
  </si>
  <si>
    <t>BT-XTAL_2016</t>
  </si>
  <si>
    <t>SMD3215-2P</t>
  </si>
  <si>
    <t>Manufacturer Part Number</t>
  </si>
  <si>
    <t>FR01-S4-210</t>
  </si>
  <si>
    <t>CC0402FRNPO9BN390</t>
  </si>
  <si>
    <t>CQ0402GRNPO9BN150</t>
  </si>
  <si>
    <t>C1005X7R1H104KT000F</t>
  </si>
  <si>
    <t>CL05A475MO5NUNC</t>
  </si>
  <si>
    <t>GJM0335C1E3R1WB01</t>
  </si>
  <si>
    <t>GJM1555C1H120GB01D</t>
  </si>
  <si>
    <t>GRM155R70J105KA12J</t>
  </si>
  <si>
    <t>CC0402BRNPO9BN1R0</t>
  </si>
  <si>
    <t>CC0402BRNPO9BN1R2</t>
  </si>
  <si>
    <t>GCM1555C1H821JA16D</t>
  </si>
  <si>
    <t>GRM158R61A226ME15D</t>
  </si>
  <si>
    <t>CC0402KRX5R7BB105</t>
  </si>
  <si>
    <t>CC0402KRX7R9BB473</t>
  </si>
  <si>
    <t>EZA-EG1N50AC</t>
  </si>
  <si>
    <t>NSR0620P2T5G</t>
  </si>
  <si>
    <t>BLM15AX121SN1</t>
  </si>
  <si>
    <t>BLM21PG221SN1D</t>
  </si>
  <si>
    <t>SMN-303</t>
  </si>
  <si>
    <t>LQW18AN8N2D10</t>
  </si>
  <si>
    <t>YSPI0520-2R2M</t>
  </si>
  <si>
    <t>LQP03TN3N9B02D</t>
  </si>
  <si>
    <t>LQG15HN15NJ02D</t>
  </si>
  <si>
    <t>MLZ1608M100WT000</t>
  </si>
  <si>
    <t>NCD0603G2</t>
  </si>
  <si>
    <t>NCD0603R3</t>
  </si>
  <si>
    <t>RC0201JR-070RL</t>
  </si>
  <si>
    <t>RC0402FR-0710KL</t>
  </si>
  <si>
    <t>RC0402FR-07100KL</t>
  </si>
  <si>
    <t>RC0402FR-071KL</t>
  </si>
  <si>
    <t>RC0402FR-071ML</t>
  </si>
  <si>
    <t>RC0402FR-070RL</t>
  </si>
  <si>
    <t>RC0402FR-0747KL</t>
  </si>
  <si>
    <t>RC0402FR-075K1L</t>
  </si>
  <si>
    <t>RC0402FR-07200RL</t>
  </si>
  <si>
    <t>RK73H1ETTP3300F</t>
  </si>
  <si>
    <t>RC0805FR-071KL</t>
  </si>
  <si>
    <t>FRC0603F9530TS</t>
  </si>
  <si>
    <t>RC0603FR-0715RL</t>
  </si>
  <si>
    <t>RC0402FR-074K7L</t>
  </si>
  <si>
    <t>BGA524N6E6327XTSA1</t>
  </si>
  <si>
    <t>nRF9160-SICAB1A</t>
  </si>
  <si>
    <t>SHTC3-TR-2.5KS</t>
  </si>
  <si>
    <t>TPS63021DSJR</t>
  </si>
  <si>
    <t>USBLC6-2SC6</t>
  </si>
  <si>
    <t>TCK106AG,LF</t>
  </si>
  <si>
    <t>SMF05C.TCT</t>
  </si>
  <si>
    <t>FSA2466UMX</t>
  </si>
  <si>
    <t>SLM6600</t>
  </si>
  <si>
    <t>MAX17048G+T10</t>
  </si>
  <si>
    <t>Q13FC13500049</t>
  </si>
  <si>
    <t>Manufacturer</t>
  </si>
  <si>
    <t>Fractus Antennas</t>
  </si>
  <si>
    <t>Johanson</t>
  </si>
  <si>
    <t>Yageo</t>
  </si>
  <si>
    <t>TDK</t>
  </si>
  <si>
    <t>Samsung</t>
  </si>
  <si>
    <t>Murata</t>
  </si>
  <si>
    <t>Panasonic</t>
  </si>
  <si>
    <t>ON Semiconductor</t>
  </si>
  <si>
    <t>Korean Hroparts Elec</t>
  </si>
  <si>
    <t>XUNPU</t>
  </si>
  <si>
    <t>Coilcraft</t>
  </si>
  <si>
    <t>YJYCOIN</t>
  </si>
  <si>
    <t>Foshan NationStar Optoelectronics</t>
  </si>
  <si>
    <t>KOA Speer</t>
  </si>
  <si>
    <t>FOJAN</t>
  </si>
  <si>
    <t>Infineon Technologies</t>
  </si>
  <si>
    <t>Nordic Semiconductor</t>
  </si>
  <si>
    <t>Sensirion</t>
  </si>
  <si>
    <t>Texas Instruments</t>
  </si>
  <si>
    <t>TECH PUBLIC</t>
  </si>
  <si>
    <t>Toshiba</t>
  </si>
  <si>
    <t>Semtech</t>
  </si>
  <si>
    <t>SOLA-IC</t>
  </si>
  <si>
    <t>Maxim</t>
  </si>
  <si>
    <t>Epson</t>
  </si>
  <si>
    <t>NN03-310</t>
  </si>
  <si>
    <t>NN02-224</t>
  </si>
  <si>
    <t>0.5pF</t>
  </si>
  <si>
    <t>2.5pF</t>
  </si>
  <si>
    <t>5.5pF</t>
  </si>
  <si>
    <t>9.2pF</t>
  </si>
  <si>
    <t>2.2nF</t>
  </si>
  <si>
    <t>1.5pF</t>
  </si>
  <si>
    <t>1nF</t>
  </si>
  <si>
    <t>3.7pF</t>
  </si>
  <si>
    <t>39pF</t>
  </si>
  <si>
    <t>33nF</t>
  </si>
  <si>
    <t>15pF</t>
  </si>
  <si>
    <t>100nF</t>
  </si>
  <si>
    <t>47uF</t>
  </si>
  <si>
    <t>4.7uF</t>
  </si>
  <si>
    <t>3.1pF</t>
  </si>
  <si>
    <t>12pF</t>
  </si>
  <si>
    <t>1uF</t>
  </si>
  <si>
    <t>1pF</t>
  </si>
  <si>
    <t>1.2pF</t>
  </si>
  <si>
    <t>DNP</t>
  </si>
  <si>
    <t>820pF</t>
  </si>
  <si>
    <t>22uF</t>
  </si>
  <si>
    <t>47nF</t>
  </si>
  <si>
    <t>SS54</t>
  </si>
  <si>
    <t>120R/0.7A</t>
  </si>
  <si>
    <t>U.FL-R-SMT-1(10)</t>
  </si>
  <si>
    <t>MM8130-2600RA2</t>
  </si>
  <si>
    <t>BATT</t>
  </si>
  <si>
    <t>15nH</t>
  </si>
  <si>
    <t>5.1nH</t>
  </si>
  <si>
    <t>6.2nH</t>
  </si>
  <si>
    <t>4.7nH</t>
  </si>
  <si>
    <t>8.2nH</t>
  </si>
  <si>
    <t>11nH</t>
  </si>
  <si>
    <t>2.4nH</t>
  </si>
  <si>
    <t>68nH</t>
  </si>
  <si>
    <t>1uH</t>
  </si>
  <si>
    <t>2.2uH</t>
  </si>
  <si>
    <t>2.2nH</t>
  </si>
  <si>
    <t>10uH</t>
  </si>
  <si>
    <t>RGB</t>
  </si>
  <si>
    <t>Emerald</t>
  </si>
  <si>
    <t>RED</t>
  </si>
  <si>
    <t>AO3400</t>
  </si>
  <si>
    <t>SI2343CDS</t>
  </si>
  <si>
    <t>0R</t>
  </si>
  <si>
    <t>10K</t>
  </si>
  <si>
    <t>100K</t>
  </si>
  <si>
    <t>1K</t>
  </si>
  <si>
    <t>1M</t>
  </si>
  <si>
    <t>47K</t>
  </si>
  <si>
    <t>5.1K</t>
  </si>
  <si>
    <t>200R</t>
  </si>
  <si>
    <t>330R</t>
  </si>
  <si>
    <t>953R</t>
  </si>
  <si>
    <t>15R</t>
  </si>
  <si>
    <t>4.7K</t>
  </si>
  <si>
    <t>SKY13418-485LF</t>
  </si>
  <si>
    <t>BGA524N6</t>
  </si>
  <si>
    <t>nRF52840</t>
  </si>
  <si>
    <t>TCK106AG</t>
  </si>
  <si>
    <t>32MHz</t>
  </si>
  <si>
    <t>32.768KHz</t>
  </si>
  <si>
    <t>Quantity</t>
  </si>
  <si>
    <t>Value</t>
  </si>
  <si>
    <t>Remarks</t>
  </si>
  <si>
    <t>DO NOT PLACE</t>
  </si>
  <si>
    <t>Diode</t>
  </si>
  <si>
    <t>Fuse</t>
  </si>
  <si>
    <t>Coaxial Connector</t>
  </si>
  <si>
    <t>SIM Connector</t>
  </si>
  <si>
    <t>Header</t>
  </si>
  <si>
    <t>Mosfet</t>
  </si>
  <si>
    <t>Switch</t>
  </si>
  <si>
    <t>GJM1555C1HR50WB01D</t>
  </si>
  <si>
    <t>Murata Electronics</t>
  </si>
  <si>
    <t>GRM0335C1H2R5CA01D</t>
  </si>
  <si>
    <t>GJM0335C1E5R5BB01D</t>
  </si>
  <si>
    <t>GJM0335C1E9R2BB01D</t>
  </si>
  <si>
    <t>GRM155R11H222KA01D</t>
  </si>
  <si>
    <t>FN03N1R5B500PLG</t>
  </si>
  <si>
    <t>GJM1555C1H1R9WB01D</t>
  </si>
  <si>
    <t>CQ0402BRNPO9BN3R7</t>
  </si>
  <si>
    <t>0402B333K160CT</t>
  </si>
  <si>
    <t>Walsin Tech Corp</t>
  </si>
  <si>
    <t>GRM21BR61A476ME15L</t>
  </si>
  <si>
    <t>-</t>
  </si>
  <si>
    <t>SM03B-SRSS-TB(LF)(SN)</t>
  </si>
  <si>
    <t>JST Connector</t>
  </si>
  <si>
    <t>JST</t>
  </si>
  <si>
    <t>LQW18AN15NJ10D</t>
  </si>
  <si>
    <t>LQP03TN5N1H02D</t>
  </si>
  <si>
    <t>VHF060303H6N2ST</t>
  </si>
  <si>
    <t>FH (Guangdong Fenghua Advanced Tech)</t>
  </si>
  <si>
    <t>LQP03HQ4N7H02D</t>
  </si>
  <si>
    <t>LQW18AN11NG80DCT</t>
  </si>
  <si>
    <t>LQW15AN2N4G80D</t>
  </si>
  <si>
    <t>LQW15AN68NG00D</t>
  </si>
  <si>
    <t>LTST-C19HE1WT</t>
  </si>
  <si>
    <t>Lite-On</t>
  </si>
  <si>
    <t>Guangdong Hottech</t>
  </si>
  <si>
    <t>SI2343CDS-T1-GE3</t>
  </si>
  <si>
    <t>Vishay Intertech</t>
  </si>
  <si>
    <t>Skyworks Solutions</t>
  </si>
  <si>
    <t>XL7EL89CKI-111YLC-32M</t>
  </si>
  <si>
    <t>YXC Crystal Oscillators</t>
  </si>
  <si>
    <t>Ignion</t>
  </si>
  <si>
    <t>USB C RECEPTACLE, 16PIN</t>
  </si>
  <si>
    <t>203615-0003</t>
  </si>
  <si>
    <t>Molex</t>
  </si>
  <si>
    <t>CONN RCPT 10POS 0.05 GOLD SMD</t>
  </si>
  <si>
    <t>20021321-00010C4LF</t>
  </si>
  <si>
    <t>Amphenol Communications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</si>
</sst>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90"/>
  <sheetViews>
    <sheetView tabSelected="1" topLeftCell="A22" workbookViewId="0">
      <selection activeCell="G39" sqref="G39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7"/>
      <c r="J1" s="17"/>
      <c r="K1" s="17"/>
    </row>
    <row r="2" spans="1:11" ht="15.75" thickBot="1" x14ac:dyDescent="0.3">
      <c r="A2" s="1"/>
      <c r="B2" s="5" t="s">
        <v>0</v>
      </c>
      <c r="C2" s="5" t="s">
        <v>1</v>
      </c>
      <c r="D2" s="5" t="s">
        <v>15</v>
      </c>
      <c r="E2" s="6" t="s">
        <v>104</v>
      </c>
      <c r="F2" s="5" t="s">
        <v>177</v>
      </c>
      <c r="G2" s="6" t="s">
        <v>227</v>
      </c>
      <c r="H2" s="5" t="s">
        <v>279</v>
      </c>
      <c r="I2" s="6" t="s">
        <v>371</v>
      </c>
      <c r="J2" s="5" t="s">
        <v>370</v>
      </c>
      <c r="K2" s="5" t="s">
        <v>372</v>
      </c>
    </row>
    <row r="3" spans="1:11" ht="15.75" thickBot="1" x14ac:dyDescent="0.3">
      <c r="A3" s="1"/>
      <c r="B3" s="11">
        <f>ROW(B3) - ROW($B$2)</f>
        <v>1</v>
      </c>
      <c r="C3" s="13" t="s">
        <v>2</v>
      </c>
      <c r="D3" s="7" t="s">
        <v>16</v>
      </c>
      <c r="E3" s="8" t="s">
        <v>105</v>
      </c>
      <c r="F3" s="7" t="s">
        <v>178</v>
      </c>
      <c r="G3" s="8" t="s">
        <v>228</v>
      </c>
      <c r="H3" s="7" t="s">
        <v>280</v>
      </c>
      <c r="I3" s="8" t="s">
        <v>305</v>
      </c>
      <c r="J3" s="7">
        <v>1</v>
      </c>
      <c r="K3" s="7"/>
    </row>
    <row r="4" spans="1:11" ht="24.75" thickBot="1" x14ac:dyDescent="0.3">
      <c r="A4" s="1"/>
      <c r="B4" s="11">
        <f t="shared" ref="B4:B90" si="0">ROW(B4) - ROW($B$2)</f>
        <v>2</v>
      </c>
      <c r="C4" s="13" t="s">
        <v>2</v>
      </c>
      <c r="D4" s="9" t="s">
        <v>17</v>
      </c>
      <c r="E4" s="10" t="s">
        <v>106</v>
      </c>
      <c r="F4" s="9" t="s">
        <v>179</v>
      </c>
      <c r="G4" s="10" t="s">
        <v>179</v>
      </c>
      <c r="H4" s="9" t="s">
        <v>281</v>
      </c>
      <c r="I4" s="10" t="s">
        <v>179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3" t="s">
        <v>2</v>
      </c>
      <c r="D5" s="7" t="s">
        <v>18</v>
      </c>
      <c r="E5" s="8"/>
      <c r="F5" s="7" t="s">
        <v>180</v>
      </c>
      <c r="G5" s="8" t="s">
        <v>306</v>
      </c>
      <c r="H5" s="7" t="s">
        <v>413</v>
      </c>
      <c r="I5" s="8" t="s">
        <v>306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3</v>
      </c>
      <c r="D6" s="9" t="s">
        <v>19</v>
      </c>
      <c r="E6" s="10" t="s">
        <v>107</v>
      </c>
      <c r="F6" s="9" t="s">
        <v>181</v>
      </c>
      <c r="G6" s="10" t="s">
        <v>381</v>
      </c>
      <c r="H6" s="9" t="s">
        <v>382</v>
      </c>
      <c r="I6" s="10" t="s">
        <v>307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3" t="s">
        <v>3</v>
      </c>
      <c r="D7" s="7" t="s">
        <v>20</v>
      </c>
      <c r="E7" s="8" t="s">
        <v>108</v>
      </c>
      <c r="F7" s="7" t="s">
        <v>182</v>
      </c>
      <c r="G7" s="8" t="s">
        <v>383</v>
      </c>
      <c r="H7" s="9" t="s">
        <v>382</v>
      </c>
      <c r="I7" s="8" t="s">
        <v>308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3</v>
      </c>
      <c r="D8" s="9" t="s">
        <v>21</v>
      </c>
      <c r="E8" s="10" t="s">
        <v>108</v>
      </c>
      <c r="F8" s="9" t="s">
        <v>182</v>
      </c>
      <c r="G8" s="10" t="s">
        <v>384</v>
      </c>
      <c r="H8" s="9" t="s">
        <v>382</v>
      </c>
      <c r="I8" s="10" t="s">
        <v>309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3" t="s">
        <v>3</v>
      </c>
      <c r="D9" s="7" t="s">
        <v>22</v>
      </c>
      <c r="E9" s="8" t="s">
        <v>108</v>
      </c>
      <c r="F9" s="7" t="s">
        <v>182</v>
      </c>
      <c r="G9" s="8" t="s">
        <v>385</v>
      </c>
      <c r="H9" s="9" t="s">
        <v>382</v>
      </c>
      <c r="I9" s="8" t="s">
        <v>310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3</v>
      </c>
      <c r="D10" s="9" t="s">
        <v>23</v>
      </c>
      <c r="E10" s="10" t="s">
        <v>109</v>
      </c>
      <c r="F10" s="9" t="s">
        <v>181</v>
      </c>
      <c r="G10" s="10" t="s">
        <v>386</v>
      </c>
      <c r="H10" s="9" t="s">
        <v>382</v>
      </c>
      <c r="I10" s="10" t="s">
        <v>311</v>
      </c>
      <c r="J10" s="9">
        <v>2</v>
      </c>
      <c r="K10" s="9"/>
    </row>
    <row r="11" spans="1:11" ht="15.75" thickBot="1" x14ac:dyDescent="0.3">
      <c r="A11" s="1"/>
      <c r="B11" s="11">
        <f>ROW(B11) - ROW($B$2)</f>
        <v>9</v>
      </c>
      <c r="C11" s="13" t="s">
        <v>3</v>
      </c>
      <c r="D11" s="7" t="s">
        <v>24</v>
      </c>
      <c r="E11" s="8" t="s">
        <v>108</v>
      </c>
      <c r="F11" s="7" t="s">
        <v>182</v>
      </c>
      <c r="G11" s="8" t="s">
        <v>387</v>
      </c>
      <c r="H11" s="9" t="s">
        <v>382</v>
      </c>
      <c r="I11" s="8" t="s">
        <v>312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3</v>
      </c>
      <c r="D12" s="9" t="s">
        <v>25</v>
      </c>
      <c r="E12" s="10" t="s">
        <v>109</v>
      </c>
      <c r="F12" s="9" t="s">
        <v>181</v>
      </c>
      <c r="G12" s="10" t="s">
        <v>388</v>
      </c>
      <c r="H12" s="9" t="s">
        <v>382</v>
      </c>
      <c r="I12" s="10" t="s">
        <v>313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3" t="s">
        <v>3</v>
      </c>
      <c r="D13" s="7" t="s">
        <v>26</v>
      </c>
      <c r="E13" s="8" t="s">
        <v>109</v>
      </c>
      <c r="F13" s="7" t="s">
        <v>181</v>
      </c>
      <c r="G13" s="8" t="s">
        <v>389</v>
      </c>
      <c r="H13" s="9" t="s">
        <v>382</v>
      </c>
      <c r="I13" s="8" t="s">
        <v>314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3</v>
      </c>
      <c r="D14" s="9" t="s">
        <v>27</v>
      </c>
      <c r="E14" s="10" t="s">
        <v>110</v>
      </c>
      <c r="F14" s="9" t="s">
        <v>183</v>
      </c>
      <c r="G14" s="10" t="s">
        <v>229</v>
      </c>
      <c r="H14" s="9" t="s">
        <v>282</v>
      </c>
      <c r="I14" s="10" t="s">
        <v>315</v>
      </c>
      <c r="J14" s="9">
        <v>3</v>
      </c>
      <c r="K14" s="9"/>
    </row>
    <row r="15" spans="1:11" ht="15.75" thickBot="1" x14ac:dyDescent="0.3">
      <c r="A15" s="1"/>
      <c r="B15" s="11">
        <f>ROW(B15) - ROW($B$2)</f>
        <v>13</v>
      </c>
      <c r="C15" s="13" t="s">
        <v>3</v>
      </c>
      <c r="D15" s="7" t="s">
        <v>28</v>
      </c>
      <c r="E15" s="8" t="s">
        <v>109</v>
      </c>
      <c r="F15" s="7" t="s">
        <v>181</v>
      </c>
      <c r="G15" s="8" t="s">
        <v>390</v>
      </c>
      <c r="H15" s="7" t="s">
        <v>391</v>
      </c>
      <c r="I15" s="8" t="s">
        <v>316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4</v>
      </c>
      <c r="D16" s="9" t="s">
        <v>29</v>
      </c>
      <c r="E16" s="10" t="s">
        <v>111</v>
      </c>
      <c r="F16" s="9" t="s">
        <v>183</v>
      </c>
      <c r="G16" s="10" t="s">
        <v>230</v>
      </c>
      <c r="H16" s="9" t="s">
        <v>282</v>
      </c>
      <c r="I16" s="10" t="s">
        <v>317</v>
      </c>
      <c r="J16" s="9">
        <v>2</v>
      </c>
      <c r="K16" s="9"/>
    </row>
    <row r="17" spans="1:11" ht="24.75" thickBot="1" x14ac:dyDescent="0.3">
      <c r="A17" s="1"/>
      <c r="B17" s="11">
        <f>ROW(B17) - ROW($B$2)</f>
        <v>15</v>
      </c>
      <c r="C17" s="12" t="s">
        <v>3</v>
      </c>
      <c r="D17" s="7" t="s">
        <v>30</v>
      </c>
      <c r="E17" s="8" t="s">
        <v>112</v>
      </c>
      <c r="F17" s="7" t="s">
        <v>184</v>
      </c>
      <c r="G17" s="8" t="s">
        <v>231</v>
      </c>
      <c r="H17" s="7" t="s">
        <v>283</v>
      </c>
      <c r="I17" s="8" t="s">
        <v>318</v>
      </c>
      <c r="J17" s="7">
        <v>15</v>
      </c>
      <c r="K17" s="7"/>
    </row>
    <row r="18" spans="1:11" ht="15.75" thickBot="1" x14ac:dyDescent="0.3">
      <c r="A18" s="1"/>
      <c r="B18" s="11">
        <f t="shared" si="0"/>
        <v>16</v>
      </c>
      <c r="C18" s="12" t="s">
        <v>3</v>
      </c>
      <c r="D18" s="9" t="s">
        <v>31</v>
      </c>
      <c r="E18" s="10" t="s">
        <v>113</v>
      </c>
      <c r="F18" s="9" t="s">
        <v>185</v>
      </c>
      <c r="G18" s="10" t="s">
        <v>392</v>
      </c>
      <c r="H18" s="9" t="s">
        <v>382</v>
      </c>
      <c r="I18" s="10" t="s">
        <v>319</v>
      </c>
      <c r="J18" s="9">
        <v>2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3</v>
      </c>
      <c r="D19" s="7" t="s">
        <v>32</v>
      </c>
      <c r="E19" s="8" t="s">
        <v>114</v>
      </c>
      <c r="F19" s="7" t="s">
        <v>183</v>
      </c>
      <c r="G19" s="8" t="s">
        <v>232</v>
      </c>
      <c r="H19" s="7" t="s">
        <v>284</v>
      </c>
      <c r="I19" s="8" t="s">
        <v>320</v>
      </c>
      <c r="J19" s="7">
        <v>5</v>
      </c>
      <c r="K19" s="7"/>
    </row>
    <row r="20" spans="1:11" ht="15.75" thickBot="1" x14ac:dyDescent="0.3">
      <c r="A20" s="1"/>
      <c r="B20" s="11">
        <f t="shared" si="0"/>
        <v>18</v>
      </c>
      <c r="C20" s="12" t="s">
        <v>3</v>
      </c>
      <c r="D20" s="9" t="s">
        <v>33</v>
      </c>
      <c r="E20" s="10" t="s">
        <v>108</v>
      </c>
      <c r="F20" s="9" t="s">
        <v>182</v>
      </c>
      <c r="G20" s="10" t="s">
        <v>233</v>
      </c>
      <c r="H20" s="9" t="s">
        <v>285</v>
      </c>
      <c r="I20" s="10" t="s">
        <v>321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3</v>
      </c>
      <c r="D21" s="7" t="s">
        <v>34</v>
      </c>
      <c r="E21" s="8" t="s">
        <v>115</v>
      </c>
      <c r="F21" s="7" t="s">
        <v>183</v>
      </c>
      <c r="G21" s="8" t="s">
        <v>234</v>
      </c>
      <c r="H21" s="7" t="s">
        <v>285</v>
      </c>
      <c r="I21" s="8" t="s">
        <v>322</v>
      </c>
      <c r="J21" s="7">
        <v>4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4</v>
      </c>
      <c r="D22" s="9" t="s">
        <v>35</v>
      </c>
      <c r="E22" s="10" t="s">
        <v>116</v>
      </c>
      <c r="F22" s="9" t="s">
        <v>183</v>
      </c>
      <c r="G22" s="10" t="s">
        <v>235</v>
      </c>
      <c r="H22" s="9" t="s">
        <v>285</v>
      </c>
      <c r="I22" s="10" t="s">
        <v>323</v>
      </c>
      <c r="J22" s="9">
        <v>2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3</v>
      </c>
      <c r="D23" s="7" t="s">
        <v>36</v>
      </c>
      <c r="E23" s="8" t="s">
        <v>117</v>
      </c>
      <c r="F23" s="7" t="s">
        <v>183</v>
      </c>
      <c r="G23" s="8" t="s">
        <v>236</v>
      </c>
      <c r="H23" s="7" t="s">
        <v>282</v>
      </c>
      <c r="I23" s="8" t="s">
        <v>324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3</v>
      </c>
      <c r="D24" s="9" t="s">
        <v>37</v>
      </c>
      <c r="E24" s="10" t="s">
        <v>118</v>
      </c>
      <c r="F24" s="9" t="s">
        <v>183</v>
      </c>
      <c r="G24" s="10" t="s">
        <v>237</v>
      </c>
      <c r="H24" s="9" t="s">
        <v>282</v>
      </c>
      <c r="I24" s="10" t="s">
        <v>325</v>
      </c>
      <c r="J24" s="9">
        <v>1</v>
      </c>
      <c r="K24" s="9"/>
    </row>
    <row r="25" spans="1:11" ht="24.75" thickBot="1" x14ac:dyDescent="0.3">
      <c r="A25" s="1"/>
      <c r="B25" s="11">
        <f>ROW(B25) - ROW($B$2)</f>
        <v>23</v>
      </c>
      <c r="C25" s="12" t="s">
        <v>3</v>
      </c>
      <c r="D25" s="14" t="s">
        <v>38</v>
      </c>
      <c r="E25" s="15" t="s">
        <v>119</v>
      </c>
      <c r="F25" s="14" t="s">
        <v>182</v>
      </c>
      <c r="G25" s="15" t="s">
        <v>393</v>
      </c>
      <c r="H25" s="14" t="s">
        <v>393</v>
      </c>
      <c r="I25" s="15" t="s">
        <v>326</v>
      </c>
      <c r="J25" s="14">
        <v>2</v>
      </c>
      <c r="K25" s="16" t="s">
        <v>373</v>
      </c>
    </row>
    <row r="26" spans="1:11" ht="15.75" thickBot="1" x14ac:dyDescent="0.3">
      <c r="A26" s="1"/>
      <c r="B26" s="11">
        <f t="shared" si="0"/>
        <v>24</v>
      </c>
      <c r="C26" s="13" t="s">
        <v>4</v>
      </c>
      <c r="D26" s="9" t="s">
        <v>39</v>
      </c>
      <c r="E26" s="10" t="s">
        <v>120</v>
      </c>
      <c r="F26" s="9" t="s">
        <v>183</v>
      </c>
      <c r="G26" s="10" t="s">
        <v>238</v>
      </c>
      <c r="H26" s="9" t="s">
        <v>285</v>
      </c>
      <c r="I26" s="10" t="s">
        <v>327</v>
      </c>
      <c r="J26" s="9">
        <v>1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3</v>
      </c>
      <c r="D27" s="7" t="s">
        <v>40</v>
      </c>
      <c r="E27" s="8" t="s">
        <v>121</v>
      </c>
      <c r="F27" s="7" t="s">
        <v>183</v>
      </c>
      <c r="G27" s="8" t="s">
        <v>239</v>
      </c>
      <c r="H27" s="7" t="s">
        <v>285</v>
      </c>
      <c r="I27" s="8" t="s">
        <v>328</v>
      </c>
      <c r="J27" s="7">
        <v>9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3</v>
      </c>
      <c r="D28" s="9" t="s">
        <v>41</v>
      </c>
      <c r="E28" s="10" t="s">
        <v>122</v>
      </c>
      <c r="F28" s="9" t="s">
        <v>183</v>
      </c>
      <c r="G28" s="10" t="s">
        <v>240</v>
      </c>
      <c r="H28" s="9" t="s">
        <v>282</v>
      </c>
      <c r="I28" s="10" t="s">
        <v>323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3</v>
      </c>
      <c r="D29" s="7" t="s">
        <v>42</v>
      </c>
      <c r="E29" s="8" t="s">
        <v>123</v>
      </c>
      <c r="F29" s="7" t="s">
        <v>183</v>
      </c>
      <c r="G29" s="8" t="s">
        <v>241</v>
      </c>
      <c r="H29" s="7" t="s">
        <v>282</v>
      </c>
      <c r="I29" s="8" t="s">
        <v>329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10</v>
      </c>
      <c r="D30" s="9" t="s">
        <v>43</v>
      </c>
      <c r="E30" s="10" t="s">
        <v>124</v>
      </c>
      <c r="F30" s="9" t="s">
        <v>186</v>
      </c>
      <c r="G30" s="10" t="s">
        <v>242</v>
      </c>
      <c r="H30" s="9" t="s">
        <v>286</v>
      </c>
      <c r="I30" s="10" t="s">
        <v>242</v>
      </c>
      <c r="J30" s="9">
        <v>1</v>
      </c>
      <c r="K30" s="9"/>
    </row>
    <row r="31" spans="1:11" ht="36.75" thickBot="1" x14ac:dyDescent="0.3">
      <c r="A31" s="1"/>
      <c r="B31" s="11">
        <f>ROW(B31) - ROW($B$2)</f>
        <v>29</v>
      </c>
      <c r="C31" s="12" t="s">
        <v>374</v>
      </c>
      <c r="D31" s="7" t="s">
        <v>44</v>
      </c>
      <c r="E31" s="8" t="s">
        <v>125</v>
      </c>
      <c r="F31" s="7" t="s">
        <v>187</v>
      </c>
      <c r="G31" s="8" t="s">
        <v>243</v>
      </c>
      <c r="H31" s="7" t="s">
        <v>287</v>
      </c>
      <c r="I31" s="8" t="s">
        <v>243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2" t="s">
        <v>374</v>
      </c>
      <c r="D32" s="9" t="s">
        <v>45</v>
      </c>
      <c r="E32" s="10" t="s">
        <v>126</v>
      </c>
      <c r="F32" s="9" t="s">
        <v>188</v>
      </c>
      <c r="G32" s="10" t="s">
        <v>330</v>
      </c>
      <c r="H32" s="9"/>
      <c r="I32" s="10" t="s">
        <v>330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375</v>
      </c>
      <c r="D33" s="7" t="s">
        <v>46</v>
      </c>
      <c r="E33" s="8" t="s">
        <v>127</v>
      </c>
      <c r="F33" s="7" t="s">
        <v>189</v>
      </c>
      <c r="G33" s="8" t="s">
        <v>189</v>
      </c>
      <c r="H33" s="7" t="s">
        <v>285</v>
      </c>
      <c r="I33" s="8" t="s">
        <v>189</v>
      </c>
      <c r="J33" s="7">
        <v>1</v>
      </c>
      <c r="K33" s="7"/>
    </row>
    <row r="34" spans="1:11" ht="24.75" thickBot="1" x14ac:dyDescent="0.3">
      <c r="A34" s="1"/>
      <c r="B34" s="11">
        <f t="shared" si="0"/>
        <v>32</v>
      </c>
      <c r="C34" s="12" t="s">
        <v>5</v>
      </c>
      <c r="D34" s="9" t="s">
        <v>47</v>
      </c>
      <c r="E34" s="10" t="s">
        <v>128</v>
      </c>
      <c r="F34" s="9" t="s">
        <v>190</v>
      </c>
      <c r="G34" s="10" t="s">
        <v>244</v>
      </c>
      <c r="H34" s="9" t="s">
        <v>285</v>
      </c>
      <c r="I34" s="10" t="s">
        <v>331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5</v>
      </c>
      <c r="D35" s="7" t="s">
        <v>48</v>
      </c>
      <c r="E35" s="8" t="s">
        <v>129</v>
      </c>
      <c r="F35" s="7" t="s">
        <v>191</v>
      </c>
      <c r="G35" s="8" t="s">
        <v>245</v>
      </c>
      <c r="H35" s="7" t="s">
        <v>285</v>
      </c>
      <c r="I35" s="8" t="s">
        <v>245</v>
      </c>
      <c r="J35" s="7">
        <v>1</v>
      </c>
      <c r="K35" s="7"/>
    </row>
    <row r="36" spans="1:11" ht="24.75" thickBot="1" x14ac:dyDescent="0.3">
      <c r="A36" s="1"/>
      <c r="B36" s="11">
        <f t="shared" si="0"/>
        <v>34</v>
      </c>
      <c r="C36" s="13" t="s">
        <v>376</v>
      </c>
      <c r="D36" s="9" t="s">
        <v>49</v>
      </c>
      <c r="E36" s="10" t="s">
        <v>130</v>
      </c>
      <c r="F36" s="9" t="s">
        <v>192</v>
      </c>
      <c r="G36" s="10" t="s">
        <v>332</v>
      </c>
      <c r="H36" s="9"/>
      <c r="I36" s="10" t="s">
        <v>332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3" t="s">
        <v>376</v>
      </c>
      <c r="D37" s="7" t="s">
        <v>50</v>
      </c>
      <c r="E37" s="8" t="s">
        <v>131</v>
      </c>
      <c r="F37" s="7" t="s">
        <v>193</v>
      </c>
      <c r="G37" s="8" t="s">
        <v>333</v>
      </c>
      <c r="H37" s="7"/>
      <c r="I37" s="8" t="s">
        <v>333</v>
      </c>
      <c r="J37" s="7">
        <v>1</v>
      </c>
      <c r="K37" s="7"/>
    </row>
    <row r="38" spans="1:11" ht="24.75" thickBot="1" x14ac:dyDescent="0.3">
      <c r="A38" s="1"/>
      <c r="B38" s="11">
        <f t="shared" si="0"/>
        <v>36</v>
      </c>
      <c r="C38" s="13" t="s">
        <v>395</v>
      </c>
      <c r="D38" s="9" t="s">
        <v>51</v>
      </c>
      <c r="E38" s="10" t="s">
        <v>132</v>
      </c>
      <c r="F38" s="9" t="s">
        <v>194</v>
      </c>
      <c r="G38" s="10" t="s">
        <v>394</v>
      </c>
      <c r="H38" s="9" t="s">
        <v>396</v>
      </c>
      <c r="I38" s="10" t="s">
        <v>334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6</v>
      </c>
      <c r="D39" s="7" t="s">
        <v>52</v>
      </c>
      <c r="E39" s="8" t="s">
        <v>414</v>
      </c>
      <c r="F39" s="7">
        <v>2036150003</v>
      </c>
      <c r="G39" s="8" t="s">
        <v>415</v>
      </c>
      <c r="H39" s="7" t="s">
        <v>416</v>
      </c>
      <c r="I39" s="8" t="s">
        <v>415</v>
      </c>
      <c r="J39" s="7">
        <v>1</v>
      </c>
      <c r="K39" s="7"/>
    </row>
    <row r="40" spans="1:11" ht="15.75" thickBot="1" x14ac:dyDescent="0.3">
      <c r="A40" s="1"/>
      <c r="B40" s="11">
        <f t="shared" si="0"/>
        <v>38</v>
      </c>
      <c r="C40" s="13" t="s">
        <v>377</v>
      </c>
      <c r="D40" s="9" t="s">
        <v>53</v>
      </c>
      <c r="E40" s="10" t="s">
        <v>133</v>
      </c>
      <c r="F40" s="9" t="s">
        <v>195</v>
      </c>
      <c r="G40" s="10" t="s">
        <v>246</v>
      </c>
      <c r="H40" s="9" t="s">
        <v>289</v>
      </c>
      <c r="I40" s="10" t="s">
        <v>246</v>
      </c>
      <c r="J40" s="9">
        <v>1</v>
      </c>
      <c r="K40" s="9"/>
    </row>
    <row r="41" spans="1:11" ht="24.75" thickBot="1" x14ac:dyDescent="0.3">
      <c r="A41" s="1"/>
      <c r="B41" s="11">
        <f>ROW(B41) - ROW($B$2)</f>
        <v>39</v>
      </c>
      <c r="C41" s="12" t="s">
        <v>7</v>
      </c>
      <c r="D41" s="7" t="s">
        <v>54</v>
      </c>
      <c r="E41" s="8" t="s">
        <v>134</v>
      </c>
      <c r="F41" s="7" t="s">
        <v>196</v>
      </c>
      <c r="G41" s="8" t="s">
        <v>397</v>
      </c>
      <c r="H41" s="7" t="s">
        <v>382</v>
      </c>
      <c r="I41" s="8" t="s">
        <v>335</v>
      </c>
      <c r="J41" s="7">
        <v>1</v>
      </c>
      <c r="K41" s="7"/>
    </row>
    <row r="42" spans="1:11" ht="24.75" thickBot="1" x14ac:dyDescent="0.3">
      <c r="A42" s="1"/>
      <c r="B42" s="11">
        <f t="shared" si="0"/>
        <v>40</v>
      </c>
      <c r="C42" s="12" t="s">
        <v>7</v>
      </c>
      <c r="D42" s="9" t="s">
        <v>55</v>
      </c>
      <c r="E42" s="10" t="s">
        <v>135</v>
      </c>
      <c r="F42" s="9" t="s">
        <v>197</v>
      </c>
      <c r="G42" s="10" t="s">
        <v>398</v>
      </c>
      <c r="H42" s="7" t="s">
        <v>382</v>
      </c>
      <c r="I42" s="10" t="s">
        <v>336</v>
      </c>
      <c r="J42" s="9">
        <v>1</v>
      </c>
      <c r="K42" s="9"/>
    </row>
    <row r="43" spans="1:11" ht="24.75" thickBot="1" x14ac:dyDescent="0.3">
      <c r="A43" s="1"/>
      <c r="B43" s="11">
        <f>ROW(B43) - ROW($B$2)</f>
        <v>41</v>
      </c>
      <c r="C43" s="12" t="s">
        <v>7</v>
      </c>
      <c r="D43" s="14" t="s">
        <v>56</v>
      </c>
      <c r="E43" s="15" t="s">
        <v>135</v>
      </c>
      <c r="F43" s="14" t="s">
        <v>197</v>
      </c>
      <c r="G43" s="15" t="s">
        <v>393</v>
      </c>
      <c r="H43" s="14" t="s">
        <v>393</v>
      </c>
      <c r="I43" s="15" t="s">
        <v>326</v>
      </c>
      <c r="J43" s="14">
        <v>1</v>
      </c>
      <c r="K43" s="16" t="s">
        <v>373</v>
      </c>
    </row>
    <row r="44" spans="1:11" ht="24.75" thickBot="1" x14ac:dyDescent="0.3">
      <c r="A44" s="1"/>
      <c r="B44" s="11">
        <f t="shared" si="0"/>
        <v>42</v>
      </c>
      <c r="C44" s="12" t="s">
        <v>7</v>
      </c>
      <c r="D44" s="9" t="s">
        <v>57</v>
      </c>
      <c r="E44" s="10" t="s">
        <v>135</v>
      </c>
      <c r="F44" s="9" t="s">
        <v>197</v>
      </c>
      <c r="G44" s="10" t="s">
        <v>399</v>
      </c>
      <c r="H44" s="9" t="s">
        <v>400</v>
      </c>
      <c r="I44" s="10" t="s">
        <v>337</v>
      </c>
      <c r="J44" s="9">
        <v>1</v>
      </c>
      <c r="K44" s="9"/>
    </row>
    <row r="45" spans="1:11" ht="24.75" thickBot="1" x14ac:dyDescent="0.3">
      <c r="A45" s="1"/>
      <c r="B45" s="11">
        <f>ROW(B45) - ROW($B$2)</f>
        <v>43</v>
      </c>
      <c r="C45" s="12" t="s">
        <v>7</v>
      </c>
      <c r="D45" s="7" t="s">
        <v>58</v>
      </c>
      <c r="E45" s="8" t="s">
        <v>136</v>
      </c>
      <c r="F45" s="7" t="s">
        <v>197</v>
      </c>
      <c r="G45" s="8" t="s">
        <v>401</v>
      </c>
      <c r="H45" s="7" t="s">
        <v>382</v>
      </c>
      <c r="I45" s="8" t="s">
        <v>338</v>
      </c>
      <c r="J45" s="7">
        <v>2</v>
      </c>
      <c r="K45" s="7"/>
    </row>
    <row r="46" spans="1:11" ht="24.75" thickBot="1" x14ac:dyDescent="0.3">
      <c r="A46" s="1"/>
      <c r="B46" s="11">
        <f t="shared" si="0"/>
        <v>44</v>
      </c>
      <c r="C46" s="12" t="s">
        <v>7</v>
      </c>
      <c r="D46" s="9" t="s">
        <v>59</v>
      </c>
      <c r="E46" s="10" t="s">
        <v>137</v>
      </c>
      <c r="F46" s="9" t="s">
        <v>196</v>
      </c>
      <c r="G46" s="10" t="s">
        <v>247</v>
      </c>
      <c r="H46" s="9" t="s">
        <v>285</v>
      </c>
      <c r="I46" s="10" t="s">
        <v>339</v>
      </c>
      <c r="J46" s="9">
        <v>1</v>
      </c>
      <c r="K46" s="9"/>
    </row>
    <row r="47" spans="1:11" ht="24.75" thickBot="1" x14ac:dyDescent="0.3">
      <c r="A47" s="1"/>
      <c r="B47" s="11">
        <f>ROW(B47) - ROW($B$2)</f>
        <v>45</v>
      </c>
      <c r="C47" s="12" t="s">
        <v>7</v>
      </c>
      <c r="D47" s="7" t="s">
        <v>60</v>
      </c>
      <c r="E47" s="8" t="s">
        <v>135</v>
      </c>
      <c r="F47" s="7" t="s">
        <v>198</v>
      </c>
      <c r="G47" s="8" t="s">
        <v>402</v>
      </c>
      <c r="H47" s="7" t="s">
        <v>382</v>
      </c>
      <c r="I47" s="8" t="s">
        <v>340</v>
      </c>
      <c r="J47" s="7">
        <v>1</v>
      </c>
      <c r="K47" s="7"/>
    </row>
    <row r="48" spans="1:11" ht="24.75" thickBot="1" x14ac:dyDescent="0.3">
      <c r="A48" s="1"/>
      <c r="B48" s="11">
        <f t="shared" si="0"/>
        <v>46</v>
      </c>
      <c r="C48" s="12" t="s">
        <v>7</v>
      </c>
      <c r="D48" s="9" t="s">
        <v>61</v>
      </c>
      <c r="E48" s="10" t="s">
        <v>135</v>
      </c>
      <c r="F48" s="9" t="s">
        <v>199</v>
      </c>
      <c r="G48" s="10" t="s">
        <v>403</v>
      </c>
      <c r="H48" s="7" t="s">
        <v>382</v>
      </c>
      <c r="I48" s="10" t="s">
        <v>341</v>
      </c>
      <c r="J48" s="9">
        <v>1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7</v>
      </c>
      <c r="D49" s="7" t="s">
        <v>62</v>
      </c>
      <c r="E49" s="8" t="s">
        <v>138</v>
      </c>
      <c r="F49" s="7" t="s">
        <v>200</v>
      </c>
      <c r="G49" s="8" t="s">
        <v>404</v>
      </c>
      <c r="H49" s="7" t="s">
        <v>382</v>
      </c>
      <c r="I49" s="8" t="s">
        <v>342</v>
      </c>
      <c r="J49" s="7">
        <v>1</v>
      </c>
      <c r="K49" s="7"/>
    </row>
    <row r="50" spans="1:11" ht="15.75" thickBot="1" x14ac:dyDescent="0.3">
      <c r="A50" s="1"/>
      <c r="B50" s="11">
        <f t="shared" si="0"/>
        <v>48</v>
      </c>
      <c r="C50" s="13" t="s">
        <v>7</v>
      </c>
      <c r="D50" s="9" t="s">
        <v>63</v>
      </c>
      <c r="E50" s="10" t="s">
        <v>139</v>
      </c>
      <c r="F50" s="9" t="s">
        <v>201</v>
      </c>
      <c r="G50" s="10" t="s">
        <v>201</v>
      </c>
      <c r="H50" s="9" t="s">
        <v>290</v>
      </c>
      <c r="I50" s="10" t="s">
        <v>343</v>
      </c>
      <c r="J50" s="9">
        <v>1</v>
      </c>
      <c r="K50" s="9"/>
    </row>
    <row r="51" spans="1:11" ht="36.75" thickBot="1" x14ac:dyDescent="0.3">
      <c r="A51" s="1"/>
      <c r="B51" s="11">
        <f>ROW(B51) - ROW($B$2)</f>
        <v>49</v>
      </c>
      <c r="C51" s="12" t="s">
        <v>7</v>
      </c>
      <c r="D51" s="7" t="s">
        <v>64</v>
      </c>
      <c r="E51" s="8" t="s">
        <v>140</v>
      </c>
      <c r="F51" s="7" t="s">
        <v>202</v>
      </c>
      <c r="G51" s="8" t="s">
        <v>248</v>
      </c>
      <c r="H51" s="7" t="s">
        <v>291</v>
      </c>
      <c r="I51" s="8" t="s">
        <v>344</v>
      </c>
      <c r="J51" s="7">
        <v>1</v>
      </c>
      <c r="K51" s="7"/>
    </row>
    <row r="52" spans="1:11" ht="15.75" thickBot="1" x14ac:dyDescent="0.3">
      <c r="A52" s="1"/>
      <c r="B52" s="11">
        <f t="shared" si="0"/>
        <v>50</v>
      </c>
      <c r="C52" s="12" t="s">
        <v>7</v>
      </c>
      <c r="D52" s="9" t="s">
        <v>65</v>
      </c>
      <c r="E52" s="10" t="s">
        <v>141</v>
      </c>
      <c r="F52" s="9" t="s">
        <v>197</v>
      </c>
      <c r="G52" s="10" t="s">
        <v>249</v>
      </c>
      <c r="H52" s="9" t="s">
        <v>285</v>
      </c>
      <c r="I52" s="10" t="s">
        <v>345</v>
      </c>
      <c r="J52" s="9">
        <v>1</v>
      </c>
      <c r="K52" s="9"/>
    </row>
    <row r="53" spans="1:11" ht="24.75" thickBot="1" x14ac:dyDescent="0.3">
      <c r="A53" s="1"/>
      <c r="B53" s="11">
        <f>ROW(B53) - ROW($B$2)</f>
        <v>51</v>
      </c>
      <c r="C53" s="12" t="s">
        <v>7</v>
      </c>
      <c r="D53" s="7" t="s">
        <v>66</v>
      </c>
      <c r="E53" s="8" t="s">
        <v>142</v>
      </c>
      <c r="F53" s="7" t="s">
        <v>203</v>
      </c>
      <c r="G53" s="8" t="s">
        <v>250</v>
      </c>
      <c r="H53" s="7" t="s">
        <v>285</v>
      </c>
      <c r="I53" s="8" t="s">
        <v>335</v>
      </c>
      <c r="J53" s="7">
        <v>1</v>
      </c>
      <c r="K53" s="7"/>
    </row>
    <row r="54" spans="1:11" ht="24.75" thickBot="1" x14ac:dyDescent="0.3">
      <c r="A54" s="1"/>
      <c r="B54" s="11">
        <f t="shared" si="0"/>
        <v>52</v>
      </c>
      <c r="C54" s="13" t="s">
        <v>8</v>
      </c>
      <c r="D54" s="9" t="s">
        <v>67</v>
      </c>
      <c r="E54" s="10" t="s">
        <v>143</v>
      </c>
      <c r="F54" s="9" t="s">
        <v>204</v>
      </c>
      <c r="G54" s="10" t="s">
        <v>251</v>
      </c>
      <c r="H54" s="9" t="s">
        <v>283</v>
      </c>
      <c r="I54" s="10" t="s">
        <v>346</v>
      </c>
      <c r="J54" s="9">
        <v>1</v>
      </c>
      <c r="K54" s="9"/>
    </row>
    <row r="55" spans="1:11" ht="15.75" thickBot="1" x14ac:dyDescent="0.3">
      <c r="A55" s="1"/>
      <c r="B55" s="11">
        <f>ROW(B55) - ROW($B$2)</f>
        <v>53</v>
      </c>
      <c r="C55" s="13" t="s">
        <v>9</v>
      </c>
      <c r="D55" s="7" t="s">
        <v>68</v>
      </c>
      <c r="E55" s="8"/>
      <c r="F55" s="7" t="s">
        <v>205</v>
      </c>
      <c r="G55" s="8" t="s">
        <v>405</v>
      </c>
      <c r="H55" s="7" t="s">
        <v>406</v>
      </c>
      <c r="I55" s="8" t="s">
        <v>347</v>
      </c>
      <c r="J55" s="7">
        <v>1</v>
      </c>
      <c r="K55" s="7"/>
    </row>
    <row r="56" spans="1:11" ht="24.75" thickBot="1" x14ac:dyDescent="0.3">
      <c r="A56" s="1"/>
      <c r="B56" s="11">
        <f t="shared" si="0"/>
        <v>54</v>
      </c>
      <c r="C56" s="13" t="s">
        <v>9</v>
      </c>
      <c r="D56" s="9" t="s">
        <v>69</v>
      </c>
      <c r="E56" s="10" t="s">
        <v>144</v>
      </c>
      <c r="F56" s="9" t="s">
        <v>206</v>
      </c>
      <c r="G56" s="10" t="s">
        <v>252</v>
      </c>
      <c r="H56" s="9" t="s">
        <v>292</v>
      </c>
      <c r="I56" s="10" t="s">
        <v>348</v>
      </c>
      <c r="J56" s="9">
        <v>1</v>
      </c>
      <c r="K56" s="9"/>
    </row>
    <row r="57" spans="1:11" ht="24.75" thickBot="1" x14ac:dyDescent="0.3">
      <c r="A57" s="1"/>
      <c r="B57" s="11">
        <f>ROW(B57) - ROW($B$2)</f>
        <v>55</v>
      </c>
      <c r="C57" s="12" t="s">
        <v>9</v>
      </c>
      <c r="D57" s="7" t="s">
        <v>70</v>
      </c>
      <c r="E57" s="8" t="s">
        <v>145</v>
      </c>
      <c r="F57" s="7" t="s">
        <v>206</v>
      </c>
      <c r="G57" s="8" t="s">
        <v>253</v>
      </c>
      <c r="H57" s="7" t="s">
        <v>292</v>
      </c>
      <c r="I57" s="8" t="s">
        <v>349</v>
      </c>
      <c r="J57" s="7">
        <v>1</v>
      </c>
      <c r="K57" s="7"/>
    </row>
    <row r="58" spans="1:11" ht="36.75" thickBot="1" x14ac:dyDescent="0.3">
      <c r="A58" s="1"/>
      <c r="B58" s="11">
        <f t="shared" si="0"/>
        <v>56</v>
      </c>
      <c r="C58" s="13" t="s">
        <v>378</v>
      </c>
      <c r="D58" s="9" t="s">
        <v>71</v>
      </c>
      <c r="E58" s="8" t="s">
        <v>417</v>
      </c>
      <c r="F58" s="7" t="s">
        <v>418</v>
      </c>
      <c r="G58" s="8" t="s">
        <v>418</v>
      </c>
      <c r="H58" s="7" t="s">
        <v>419</v>
      </c>
      <c r="I58" s="8" t="s">
        <v>418</v>
      </c>
      <c r="J58" s="7">
        <v>1</v>
      </c>
      <c r="K58" s="9"/>
    </row>
    <row r="59" spans="1:11" ht="24.75" thickBot="1" x14ac:dyDescent="0.3">
      <c r="A59" s="1"/>
      <c r="B59" s="11">
        <f>ROW(B59) - ROW($B$2)</f>
        <v>57</v>
      </c>
      <c r="C59" s="12" t="s">
        <v>379</v>
      </c>
      <c r="D59" s="7" t="s">
        <v>72</v>
      </c>
      <c r="E59" s="8" t="s">
        <v>146</v>
      </c>
      <c r="F59" s="7" t="s">
        <v>207</v>
      </c>
      <c r="G59" s="8" t="s">
        <v>350</v>
      </c>
      <c r="H59" s="7" t="s">
        <v>407</v>
      </c>
      <c r="I59" s="8" t="s">
        <v>350</v>
      </c>
      <c r="J59" s="7">
        <v>3</v>
      </c>
      <c r="K59" s="7"/>
    </row>
    <row r="60" spans="1:11" ht="15.75" thickBot="1" x14ac:dyDescent="0.3">
      <c r="A60" s="1"/>
      <c r="B60" s="11">
        <f t="shared" si="0"/>
        <v>58</v>
      </c>
      <c r="C60" s="12" t="s">
        <v>379</v>
      </c>
      <c r="D60" s="9" t="s">
        <v>73</v>
      </c>
      <c r="E60" s="10" t="s">
        <v>147</v>
      </c>
      <c r="F60" s="9" t="s">
        <v>207</v>
      </c>
      <c r="G60" s="10" t="s">
        <v>408</v>
      </c>
      <c r="H60" s="9" t="s">
        <v>409</v>
      </c>
      <c r="I60" s="10" t="s">
        <v>351</v>
      </c>
      <c r="J60" s="9">
        <v>1</v>
      </c>
      <c r="K60" s="9"/>
    </row>
    <row r="61" spans="1:11" ht="15.75" thickBot="1" x14ac:dyDescent="0.3">
      <c r="A61" s="1"/>
      <c r="B61" s="11">
        <f>ROW(B61) - ROW($B$2)</f>
        <v>59</v>
      </c>
      <c r="C61" s="13" t="s">
        <v>10</v>
      </c>
      <c r="D61" s="7" t="s">
        <v>74</v>
      </c>
      <c r="E61" s="8" t="s">
        <v>148</v>
      </c>
      <c r="F61" s="7" t="s">
        <v>208</v>
      </c>
      <c r="G61" s="8" t="s">
        <v>254</v>
      </c>
      <c r="H61" s="7" t="s">
        <v>282</v>
      </c>
      <c r="I61" s="8" t="s">
        <v>352</v>
      </c>
      <c r="J61" s="7">
        <v>2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10</v>
      </c>
      <c r="D62" s="9" t="s">
        <v>75</v>
      </c>
      <c r="E62" s="10" t="s">
        <v>149</v>
      </c>
      <c r="F62" s="9" t="s">
        <v>209</v>
      </c>
      <c r="G62" s="10" t="s">
        <v>255</v>
      </c>
      <c r="H62" s="9" t="s">
        <v>282</v>
      </c>
      <c r="I62" s="10" t="s">
        <v>353</v>
      </c>
      <c r="J62" s="9">
        <v>3</v>
      </c>
      <c r="K62" s="9"/>
    </row>
    <row r="63" spans="1:11" ht="15.75" thickBot="1" x14ac:dyDescent="0.3">
      <c r="A63" s="1"/>
      <c r="B63" s="11">
        <f>ROW(B63) - ROW($B$2)</f>
        <v>61</v>
      </c>
      <c r="C63" s="12" t="s">
        <v>10</v>
      </c>
      <c r="D63" s="7" t="s">
        <v>76</v>
      </c>
      <c r="E63" s="8" t="s">
        <v>150</v>
      </c>
      <c r="F63" s="7" t="s">
        <v>209</v>
      </c>
      <c r="G63" s="8" t="s">
        <v>256</v>
      </c>
      <c r="H63" s="7" t="s">
        <v>282</v>
      </c>
      <c r="I63" s="8" t="s">
        <v>354</v>
      </c>
      <c r="J63" s="7">
        <v>8</v>
      </c>
      <c r="K63" s="7"/>
    </row>
    <row r="64" spans="1:11" ht="15.75" thickBot="1" x14ac:dyDescent="0.3">
      <c r="A64" s="1"/>
      <c r="B64" s="11">
        <f t="shared" si="0"/>
        <v>62</v>
      </c>
      <c r="C64" s="13" t="s">
        <v>10</v>
      </c>
      <c r="D64" s="9" t="s">
        <v>77</v>
      </c>
      <c r="E64" s="10" t="s">
        <v>151</v>
      </c>
      <c r="F64" s="9" t="s">
        <v>209</v>
      </c>
      <c r="G64" s="10" t="s">
        <v>257</v>
      </c>
      <c r="H64" s="9" t="s">
        <v>282</v>
      </c>
      <c r="I64" s="10" t="s">
        <v>355</v>
      </c>
      <c r="J64" s="9">
        <v>5</v>
      </c>
      <c r="K64" s="9"/>
    </row>
    <row r="65" spans="1:11" ht="15.75" thickBot="1" x14ac:dyDescent="0.3">
      <c r="A65" s="1"/>
      <c r="B65" s="11">
        <f>ROW(B65) - ROW($B$2)</f>
        <v>63</v>
      </c>
      <c r="C65" s="12" t="s">
        <v>10</v>
      </c>
      <c r="D65" s="7" t="s">
        <v>78</v>
      </c>
      <c r="E65" s="8" t="s">
        <v>152</v>
      </c>
      <c r="F65" s="7" t="s">
        <v>209</v>
      </c>
      <c r="G65" s="8" t="s">
        <v>258</v>
      </c>
      <c r="H65" s="7" t="s">
        <v>282</v>
      </c>
      <c r="I65" s="8" t="s">
        <v>356</v>
      </c>
      <c r="J65" s="7">
        <v>3</v>
      </c>
      <c r="K65" s="7"/>
    </row>
    <row r="66" spans="1:11" ht="15.75" thickBot="1" x14ac:dyDescent="0.3">
      <c r="A66" s="1"/>
      <c r="B66" s="11">
        <f t="shared" si="0"/>
        <v>64</v>
      </c>
      <c r="C66" s="13" t="s">
        <v>11</v>
      </c>
      <c r="D66" s="14" t="s">
        <v>79</v>
      </c>
      <c r="E66" s="15" t="s">
        <v>153</v>
      </c>
      <c r="F66" s="14" t="s">
        <v>209</v>
      </c>
      <c r="G66" s="15" t="s">
        <v>259</v>
      </c>
      <c r="H66" s="14" t="s">
        <v>282</v>
      </c>
      <c r="I66" s="15" t="s">
        <v>326</v>
      </c>
      <c r="J66" s="14">
        <v>9</v>
      </c>
      <c r="K66" s="16" t="s">
        <v>373</v>
      </c>
    </row>
    <row r="67" spans="1:11" ht="15.75" thickBot="1" x14ac:dyDescent="0.3">
      <c r="A67" s="1"/>
      <c r="B67" s="11">
        <f>ROW(B67) - ROW($B$2)</f>
        <v>65</v>
      </c>
      <c r="C67" s="12" t="s">
        <v>10</v>
      </c>
      <c r="D67" s="7" t="s">
        <v>80</v>
      </c>
      <c r="E67" s="8" t="s">
        <v>154</v>
      </c>
      <c r="F67" s="7" t="s">
        <v>209</v>
      </c>
      <c r="G67" s="8" t="s">
        <v>260</v>
      </c>
      <c r="H67" s="7" t="s">
        <v>282</v>
      </c>
      <c r="I67" s="8" t="s">
        <v>357</v>
      </c>
      <c r="J67" s="7">
        <v>1</v>
      </c>
      <c r="K67" s="7"/>
    </row>
    <row r="68" spans="1:11" ht="15.75" thickBot="1" x14ac:dyDescent="0.3">
      <c r="A68" s="1"/>
      <c r="B68" s="11">
        <f t="shared" si="0"/>
        <v>66</v>
      </c>
      <c r="C68" s="13" t="s">
        <v>10</v>
      </c>
      <c r="D68" s="9" t="s">
        <v>81</v>
      </c>
      <c r="E68" s="10" t="s">
        <v>155</v>
      </c>
      <c r="F68" s="9" t="s">
        <v>209</v>
      </c>
      <c r="G68" s="10" t="s">
        <v>261</v>
      </c>
      <c r="H68" s="9" t="s">
        <v>282</v>
      </c>
      <c r="I68" s="10" t="s">
        <v>358</v>
      </c>
      <c r="J68" s="9">
        <v>2</v>
      </c>
      <c r="K68" s="9"/>
    </row>
    <row r="69" spans="1:11" ht="15.75" thickBot="1" x14ac:dyDescent="0.3">
      <c r="A69" s="1"/>
      <c r="B69" s="11">
        <f>ROW(B69) - ROW($B$2)</f>
        <v>67</v>
      </c>
      <c r="C69" s="12" t="s">
        <v>11</v>
      </c>
      <c r="D69" s="7" t="s">
        <v>82</v>
      </c>
      <c r="E69" s="8" t="s">
        <v>153</v>
      </c>
      <c r="F69" s="7" t="s">
        <v>209</v>
      </c>
      <c r="G69" s="8" t="s">
        <v>259</v>
      </c>
      <c r="H69" s="7" t="s">
        <v>282</v>
      </c>
      <c r="I69" s="8" t="s">
        <v>352</v>
      </c>
      <c r="J69" s="7">
        <v>3</v>
      </c>
      <c r="K69" s="7"/>
    </row>
    <row r="70" spans="1:11" ht="15.75" thickBot="1" x14ac:dyDescent="0.3">
      <c r="A70" s="1"/>
      <c r="B70" s="11">
        <f t="shared" si="0"/>
        <v>68</v>
      </c>
      <c r="C70" s="12" t="s">
        <v>11</v>
      </c>
      <c r="D70" s="9" t="s">
        <v>83</v>
      </c>
      <c r="E70" s="10" t="s">
        <v>156</v>
      </c>
      <c r="F70" s="9" t="s">
        <v>209</v>
      </c>
      <c r="G70" s="10" t="s">
        <v>262</v>
      </c>
      <c r="H70" s="9" t="s">
        <v>282</v>
      </c>
      <c r="I70" s="10" t="s">
        <v>359</v>
      </c>
      <c r="J70" s="9">
        <v>2</v>
      </c>
      <c r="K70" s="9"/>
    </row>
    <row r="71" spans="1:11" ht="15.75" thickBot="1" x14ac:dyDescent="0.3">
      <c r="A71" s="1"/>
      <c r="B71" s="11">
        <f>ROW(B71) - ROW($B$2)</f>
        <v>69</v>
      </c>
      <c r="C71" s="12" t="s">
        <v>11</v>
      </c>
      <c r="D71" s="7" t="s">
        <v>84</v>
      </c>
      <c r="E71" s="8" t="s">
        <v>157</v>
      </c>
      <c r="F71" s="7" t="s">
        <v>209</v>
      </c>
      <c r="G71" s="8" t="s">
        <v>263</v>
      </c>
      <c r="H71" s="7" t="s">
        <v>293</v>
      </c>
      <c r="I71" s="8" t="s">
        <v>360</v>
      </c>
      <c r="J71" s="7">
        <v>1</v>
      </c>
      <c r="K71" s="7"/>
    </row>
    <row r="72" spans="1:11" ht="15.75" thickBot="1" x14ac:dyDescent="0.3">
      <c r="A72" s="1"/>
      <c r="B72" s="11">
        <f t="shared" si="0"/>
        <v>70</v>
      </c>
      <c r="C72" s="13" t="s">
        <v>10</v>
      </c>
      <c r="D72" s="9" t="s">
        <v>85</v>
      </c>
      <c r="E72" s="10" t="s">
        <v>158</v>
      </c>
      <c r="F72" s="9" t="s">
        <v>210</v>
      </c>
      <c r="G72" s="10" t="s">
        <v>264</v>
      </c>
      <c r="H72" s="9" t="s">
        <v>282</v>
      </c>
      <c r="I72" s="10" t="s">
        <v>355</v>
      </c>
      <c r="J72" s="9">
        <v>1</v>
      </c>
      <c r="K72" s="9"/>
    </row>
    <row r="73" spans="1:11" ht="36.75" thickBot="1" x14ac:dyDescent="0.3">
      <c r="A73" s="1"/>
      <c r="B73" s="11">
        <f>ROW(B73) - ROW($B$2)</f>
        <v>71</v>
      </c>
      <c r="C73" s="12" t="s">
        <v>10</v>
      </c>
      <c r="D73" s="7" t="s">
        <v>86</v>
      </c>
      <c r="E73" s="8" t="s">
        <v>159</v>
      </c>
      <c r="F73" s="7" t="s">
        <v>211</v>
      </c>
      <c r="G73" s="8" t="s">
        <v>265</v>
      </c>
      <c r="H73" s="7" t="s">
        <v>294</v>
      </c>
      <c r="I73" s="8" t="s">
        <v>361</v>
      </c>
      <c r="J73" s="7">
        <v>1</v>
      </c>
      <c r="K73" s="7"/>
    </row>
    <row r="74" spans="1:11" ht="15.75" thickBot="1" x14ac:dyDescent="0.3">
      <c r="A74" s="1"/>
      <c r="B74" s="11">
        <f t="shared" si="0"/>
        <v>72</v>
      </c>
      <c r="C74" s="13" t="s">
        <v>10</v>
      </c>
      <c r="D74" s="9" t="s">
        <v>87</v>
      </c>
      <c r="E74" s="10" t="s">
        <v>160</v>
      </c>
      <c r="F74" s="9" t="s">
        <v>211</v>
      </c>
      <c r="G74" s="10" t="s">
        <v>266</v>
      </c>
      <c r="H74" s="9" t="s">
        <v>282</v>
      </c>
      <c r="I74" s="10" t="s">
        <v>362</v>
      </c>
      <c r="J74" s="9">
        <v>1</v>
      </c>
      <c r="K74" s="9"/>
    </row>
    <row r="75" spans="1:11" ht="15.75" thickBot="1" x14ac:dyDescent="0.3">
      <c r="A75" s="1"/>
      <c r="B75" s="11">
        <f>ROW(B75) - ROW($B$2)</f>
        <v>73</v>
      </c>
      <c r="C75" s="12" t="s">
        <v>10</v>
      </c>
      <c r="D75" s="7" t="s">
        <v>88</v>
      </c>
      <c r="E75" s="8" t="s">
        <v>161</v>
      </c>
      <c r="F75" s="7" t="s">
        <v>209</v>
      </c>
      <c r="G75" s="8" t="s">
        <v>267</v>
      </c>
      <c r="H75" s="7" t="s">
        <v>282</v>
      </c>
      <c r="I75" s="8" t="s">
        <v>363</v>
      </c>
      <c r="J75" s="7">
        <v>2</v>
      </c>
      <c r="K75" s="7"/>
    </row>
    <row r="76" spans="1:11" ht="24.75" thickBot="1" x14ac:dyDescent="0.3">
      <c r="A76" s="1"/>
      <c r="B76" s="11">
        <f t="shared" si="0"/>
        <v>74</v>
      </c>
      <c r="C76" s="13" t="s">
        <v>380</v>
      </c>
      <c r="D76" s="9" t="s">
        <v>89</v>
      </c>
      <c r="E76" s="10" t="s">
        <v>162</v>
      </c>
      <c r="F76" s="9" t="s">
        <v>212</v>
      </c>
      <c r="G76" s="10" t="s">
        <v>212</v>
      </c>
      <c r="H76" s="9" t="s">
        <v>288</v>
      </c>
      <c r="I76" s="10" t="s">
        <v>212</v>
      </c>
      <c r="J76" s="9">
        <v>1</v>
      </c>
      <c r="K76" s="9"/>
    </row>
    <row r="77" spans="1:11" ht="15.75" thickBot="1" x14ac:dyDescent="0.3">
      <c r="A77" s="1"/>
      <c r="B77" s="11">
        <f>ROW(B77) - ROW($B$2)</f>
        <v>75</v>
      </c>
      <c r="C77" s="12" t="s">
        <v>12</v>
      </c>
      <c r="D77" s="7" t="s">
        <v>90</v>
      </c>
      <c r="E77" s="8" t="s">
        <v>163</v>
      </c>
      <c r="F77" s="7" t="s">
        <v>213</v>
      </c>
      <c r="G77" s="8" t="s">
        <v>364</v>
      </c>
      <c r="H77" s="7" t="s">
        <v>410</v>
      </c>
      <c r="I77" s="8" t="s">
        <v>364</v>
      </c>
      <c r="J77" s="7">
        <v>2</v>
      </c>
      <c r="K77" s="7"/>
    </row>
    <row r="78" spans="1:11" ht="36.75" thickBot="1" x14ac:dyDescent="0.3">
      <c r="A78" s="1"/>
      <c r="B78" s="11">
        <f t="shared" si="0"/>
        <v>76</v>
      </c>
      <c r="C78" s="12" t="s">
        <v>12</v>
      </c>
      <c r="D78" s="9" t="s">
        <v>91</v>
      </c>
      <c r="E78" s="10" t="s">
        <v>164</v>
      </c>
      <c r="F78" s="9" t="s">
        <v>214</v>
      </c>
      <c r="G78" s="10" t="s">
        <v>268</v>
      </c>
      <c r="H78" s="9" t="s">
        <v>295</v>
      </c>
      <c r="I78" s="10" t="s">
        <v>365</v>
      </c>
      <c r="J78" s="9">
        <v>1</v>
      </c>
      <c r="K78" s="9"/>
    </row>
    <row r="79" spans="1:11" ht="36.75" thickBot="1" x14ac:dyDescent="0.3">
      <c r="A79" s="1"/>
      <c r="B79" s="11">
        <f>ROW(B79) - ROW($B$2)</f>
        <v>77</v>
      </c>
      <c r="C79" s="12" t="s">
        <v>12</v>
      </c>
      <c r="D79" s="7" t="s">
        <v>92</v>
      </c>
      <c r="E79" s="8" t="s">
        <v>165</v>
      </c>
      <c r="F79" s="7" t="s">
        <v>215</v>
      </c>
      <c r="G79" s="8" t="s">
        <v>269</v>
      </c>
      <c r="H79" s="7" t="s">
        <v>296</v>
      </c>
      <c r="I79" s="8" t="s">
        <v>269</v>
      </c>
      <c r="J79" s="7">
        <v>1</v>
      </c>
      <c r="K79" s="7"/>
    </row>
    <row r="80" spans="1:11" ht="36.75" thickBot="1" x14ac:dyDescent="0.3">
      <c r="A80" s="1"/>
      <c r="B80" s="11">
        <f t="shared" si="0"/>
        <v>78</v>
      </c>
      <c r="C80" s="13" t="s">
        <v>12</v>
      </c>
      <c r="D80" s="9" t="s">
        <v>93</v>
      </c>
      <c r="E80" s="10" t="s">
        <v>166</v>
      </c>
      <c r="F80" s="9" t="s">
        <v>216</v>
      </c>
      <c r="G80" s="10" t="s">
        <v>270</v>
      </c>
      <c r="H80" s="9" t="s">
        <v>297</v>
      </c>
      <c r="I80" s="10" t="s">
        <v>270</v>
      </c>
      <c r="J80" s="9">
        <v>1</v>
      </c>
      <c r="K80" s="9"/>
    </row>
    <row r="81" spans="1:11" ht="15.75" thickBot="1" x14ac:dyDescent="0.3">
      <c r="A81" s="1"/>
      <c r="B81" s="11">
        <f>ROW(B81) - ROW($B$2)</f>
        <v>79</v>
      </c>
      <c r="C81" s="12" t="s">
        <v>12</v>
      </c>
      <c r="D81" s="7" t="s">
        <v>94</v>
      </c>
      <c r="E81" s="8" t="s">
        <v>167</v>
      </c>
      <c r="F81" s="7" t="s">
        <v>217</v>
      </c>
      <c r="G81" s="8" t="s">
        <v>271</v>
      </c>
      <c r="H81" s="7" t="s">
        <v>298</v>
      </c>
      <c r="I81" s="8" t="s">
        <v>271</v>
      </c>
      <c r="J81" s="7">
        <v>1</v>
      </c>
      <c r="K81" s="7"/>
    </row>
    <row r="82" spans="1:11" ht="24.75" thickBot="1" x14ac:dyDescent="0.3">
      <c r="A82" s="1"/>
      <c r="B82" s="11">
        <f t="shared" si="0"/>
        <v>80</v>
      </c>
      <c r="C82" s="13" t="s">
        <v>12</v>
      </c>
      <c r="D82" s="9" t="s">
        <v>95</v>
      </c>
      <c r="E82" s="10" t="s">
        <v>168</v>
      </c>
      <c r="F82" s="9" t="s">
        <v>218</v>
      </c>
      <c r="G82" s="10" t="s">
        <v>366</v>
      </c>
      <c r="H82" s="9"/>
      <c r="I82" s="10" t="s">
        <v>366</v>
      </c>
      <c r="J82" s="9">
        <v>1</v>
      </c>
      <c r="K82" s="9"/>
    </row>
    <row r="83" spans="1:11" ht="36.75" thickBot="1" x14ac:dyDescent="0.3">
      <c r="A83" s="1"/>
      <c r="B83" s="11">
        <f>ROW(B83) - ROW($B$2)</f>
        <v>81</v>
      </c>
      <c r="C83" s="12" t="s">
        <v>13</v>
      </c>
      <c r="D83" s="7" t="s">
        <v>96</v>
      </c>
      <c r="E83" s="8" t="s">
        <v>169</v>
      </c>
      <c r="F83" s="7" t="s">
        <v>219</v>
      </c>
      <c r="G83" s="8" t="s">
        <v>272</v>
      </c>
      <c r="H83" s="7" t="s">
        <v>299</v>
      </c>
      <c r="I83" s="8" t="s">
        <v>272</v>
      </c>
      <c r="J83" s="7">
        <v>1</v>
      </c>
      <c r="K83" s="7"/>
    </row>
    <row r="84" spans="1:11" ht="36.75" thickBot="1" x14ac:dyDescent="0.3">
      <c r="A84" s="1"/>
      <c r="B84" s="11">
        <f t="shared" si="0"/>
        <v>82</v>
      </c>
      <c r="C84" s="13" t="s">
        <v>12</v>
      </c>
      <c r="D84" s="9" t="s">
        <v>97</v>
      </c>
      <c r="E84" s="10" t="s">
        <v>170</v>
      </c>
      <c r="F84" s="9" t="s">
        <v>220</v>
      </c>
      <c r="G84" s="10" t="s">
        <v>273</v>
      </c>
      <c r="H84" s="9" t="s">
        <v>300</v>
      </c>
      <c r="I84" s="10" t="s">
        <v>367</v>
      </c>
      <c r="J84" s="9">
        <v>1</v>
      </c>
      <c r="K84" s="9"/>
    </row>
    <row r="85" spans="1:11" ht="15.75" thickBot="1" x14ac:dyDescent="0.3">
      <c r="A85" s="1"/>
      <c r="B85" s="11">
        <f>ROW(B85) - ROW($B$2)</f>
        <v>83</v>
      </c>
      <c r="C85" s="13" t="s">
        <v>12</v>
      </c>
      <c r="D85" s="7" t="s">
        <v>98</v>
      </c>
      <c r="E85" s="8" t="s">
        <v>171</v>
      </c>
      <c r="F85" s="7" t="s">
        <v>221</v>
      </c>
      <c r="G85" s="8" t="s">
        <v>274</v>
      </c>
      <c r="H85" s="7" t="s">
        <v>301</v>
      </c>
      <c r="I85" s="8" t="s">
        <v>274</v>
      </c>
      <c r="J85" s="7">
        <v>1</v>
      </c>
      <c r="K85" s="7"/>
    </row>
    <row r="86" spans="1:11" ht="24.75" thickBot="1" x14ac:dyDescent="0.3">
      <c r="A86" s="1"/>
      <c r="B86" s="11">
        <f t="shared" si="0"/>
        <v>84</v>
      </c>
      <c r="C86" s="13" t="s">
        <v>12</v>
      </c>
      <c r="D86" s="9" t="s">
        <v>99</v>
      </c>
      <c r="E86" s="10" t="s">
        <v>172</v>
      </c>
      <c r="F86" s="9" t="s">
        <v>222</v>
      </c>
      <c r="G86" s="10" t="s">
        <v>275</v>
      </c>
      <c r="H86" s="9" t="s">
        <v>287</v>
      </c>
      <c r="I86" s="10" t="s">
        <v>275</v>
      </c>
      <c r="J86" s="9">
        <v>1</v>
      </c>
      <c r="K86" s="9"/>
    </row>
    <row r="87" spans="1:11" ht="24.75" thickBot="1" x14ac:dyDescent="0.3">
      <c r="A87" s="1"/>
      <c r="B87" s="11">
        <f>ROW(B87) - ROW($B$2)</f>
        <v>85</v>
      </c>
      <c r="C87" s="12" t="s">
        <v>12</v>
      </c>
      <c r="D87" s="7" t="s">
        <v>100</v>
      </c>
      <c r="E87" s="8" t="s">
        <v>173</v>
      </c>
      <c r="F87" s="7" t="s">
        <v>223</v>
      </c>
      <c r="G87" s="8" t="s">
        <v>276</v>
      </c>
      <c r="H87" s="7" t="s">
        <v>302</v>
      </c>
      <c r="I87" s="8" t="s">
        <v>276</v>
      </c>
      <c r="J87" s="7">
        <v>1</v>
      </c>
      <c r="K87" s="7"/>
    </row>
    <row r="88" spans="1:11" ht="15.75" thickBot="1" x14ac:dyDescent="0.3">
      <c r="A88" s="1"/>
      <c r="B88" s="11">
        <f t="shared" si="0"/>
        <v>86</v>
      </c>
      <c r="C88" s="13" t="s">
        <v>12</v>
      </c>
      <c r="D88" s="9" t="s">
        <v>101</v>
      </c>
      <c r="E88" s="10" t="s">
        <v>174</v>
      </c>
      <c r="F88" s="9" t="s">
        <v>224</v>
      </c>
      <c r="G88" s="10" t="s">
        <v>277</v>
      </c>
      <c r="H88" s="9" t="s">
        <v>303</v>
      </c>
      <c r="I88" s="10" t="s">
        <v>277</v>
      </c>
      <c r="J88" s="9">
        <v>1</v>
      </c>
      <c r="K88" s="9"/>
    </row>
    <row r="89" spans="1:11" ht="24.75" thickBot="1" x14ac:dyDescent="0.3">
      <c r="A89" s="1"/>
      <c r="B89" s="11">
        <f>ROW(B89) - ROW($B$2)</f>
        <v>87</v>
      </c>
      <c r="C89" s="13" t="s">
        <v>14</v>
      </c>
      <c r="D89" s="7" t="s">
        <v>102</v>
      </c>
      <c r="E89" s="8" t="s">
        <v>175</v>
      </c>
      <c r="F89" s="7" t="s">
        <v>225</v>
      </c>
      <c r="G89" s="8" t="s">
        <v>411</v>
      </c>
      <c r="H89" s="7" t="s">
        <v>412</v>
      </c>
      <c r="I89" s="8" t="s">
        <v>368</v>
      </c>
      <c r="J89" s="7">
        <v>1</v>
      </c>
      <c r="K89" s="7"/>
    </row>
    <row r="90" spans="1:11" ht="24.75" thickBot="1" x14ac:dyDescent="0.3">
      <c r="A90" s="1"/>
      <c r="B90" s="11">
        <f t="shared" si="0"/>
        <v>88</v>
      </c>
      <c r="C90" s="13" t="s">
        <v>14</v>
      </c>
      <c r="D90" s="9" t="s">
        <v>103</v>
      </c>
      <c r="E90" s="10" t="s">
        <v>176</v>
      </c>
      <c r="F90" s="9" t="s">
        <v>226</v>
      </c>
      <c r="G90" s="10" t="s">
        <v>278</v>
      </c>
      <c r="H90" s="9" t="s">
        <v>304</v>
      </c>
      <c r="I90" s="10" t="s">
        <v>369</v>
      </c>
      <c r="J90" s="9">
        <v>1</v>
      </c>
      <c r="K90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 Cons Group</cp:lastModifiedBy>
  <dcterms:created xsi:type="dcterms:W3CDTF">2019-12-12T10:34:26Z</dcterms:created>
  <dcterms:modified xsi:type="dcterms:W3CDTF">2025-07-16T16:59:45Z</dcterms:modified>
</cp:coreProperties>
</file>